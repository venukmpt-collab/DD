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https://evhcprod.sharepoint.com/sites/itpmo/erpcloud/Documents/HCM/Payroll/Benefits/Secure 2.0/"/>
    </mc:Choice>
  </mc:AlternateContent>
  <xr:revisionPtr revIDLastSave="1300" documentId="11_2E21415C90811A610A12C569D3FDF3D24B9D8C6B" xr6:coauthVersionLast="47" xr6:coauthVersionMax="47" xr10:uidLastSave="{D8284DFA-0530-4B50-B80C-AA1DFA0B06E9}"/>
  <bookViews>
    <workbookView xWindow="-108" yWindow="-108" windowWidth="23256" windowHeight="12456" firstSheet="1" activeTab="1" xr2:uid="{00000000-000D-0000-FFFF-FFFF00000000}"/>
  </bookViews>
  <sheets>
    <sheet name="Timeline" sheetId="1" r:id="rId1"/>
    <sheet name="YE-YB Process" sheetId="4" r:id="rId2"/>
    <sheet name="2026 Review" sheetId="5" r:id="rId3"/>
    <sheet name="Logic for IT" sheetId="2" r:id="rId4"/>
    <sheet name="Report" sheetId="3" r:id="rId5"/>
    <sheet name="Sheet1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3" l="1"/>
  <c r="P5" i="3"/>
  <c r="P6" i="3"/>
  <c r="P7" i="3"/>
  <c r="P8" i="3"/>
  <c r="P9" i="3"/>
  <c r="P10" i="3"/>
  <c r="P11" i="3"/>
  <c r="P12" i="3"/>
  <c r="P13" i="3"/>
  <c r="P14" i="3"/>
  <c r="P15" i="3"/>
  <c r="P3" i="3"/>
  <c r="C125" i="2"/>
  <c r="D125" i="2"/>
  <c r="D97" i="2"/>
</calcChain>
</file>

<file path=xl/sharedStrings.xml><?xml version="1.0" encoding="utf-8"?>
<sst xmlns="http://schemas.openxmlformats.org/spreadsheetml/2006/main" count="420" uniqueCount="287">
  <si>
    <t>Project Phase</t>
  </si>
  <si>
    <t>Tentative Dates</t>
  </si>
  <si>
    <t>Updated Tentative Dates</t>
  </si>
  <si>
    <t>Teams</t>
  </si>
  <si>
    <t>Requirement Gathering</t>
  </si>
  <si>
    <t>6/2/25-6/13/25</t>
  </si>
  <si>
    <t>HRIS/IT/Benefits</t>
  </si>
  <si>
    <t>Development Build / Unit Testing</t>
  </si>
  <si>
    <t>6/16/25- 8/1/25</t>
  </si>
  <si>
    <t>6/16/25- 09/12/25</t>
  </si>
  <si>
    <t>HRIS/IT</t>
  </si>
  <si>
    <t>HRIS Testing</t>
  </si>
  <si>
    <t>7/1/25- 8/1/25</t>
  </si>
  <si>
    <t>7/1/25- 9/26/25</t>
  </si>
  <si>
    <t>User Unit Testing</t>
  </si>
  <si>
    <t>8/4/25-8/15/25</t>
  </si>
  <si>
    <t>09/29/25 - 10/10/25</t>
  </si>
  <si>
    <t>Benefits/HRIS</t>
  </si>
  <si>
    <t>UAT User Testing</t>
  </si>
  <si>
    <t>8/25/25 - 9/19/25</t>
  </si>
  <si>
    <t>10/13/25 - 10/24/25</t>
  </si>
  <si>
    <t>Documents review for Go Live</t>
  </si>
  <si>
    <t>9/16/25 - 9/30/25</t>
  </si>
  <si>
    <t>10/27/25 - 11/07/25</t>
  </si>
  <si>
    <t>Prod move</t>
  </si>
  <si>
    <t>12/30/25 - 1/4/26</t>
  </si>
  <si>
    <t>IT/HRIS</t>
  </si>
  <si>
    <t>Objects</t>
  </si>
  <si>
    <t>ETA</t>
  </si>
  <si>
    <t>Resource</t>
  </si>
  <si>
    <t>Status</t>
  </si>
  <si>
    <t>7.19.25</t>
  </si>
  <si>
    <t>08.12.2025</t>
  </si>
  <si>
    <t>08.19.2025</t>
  </si>
  <si>
    <t>08.26.2025</t>
  </si>
  <si>
    <t>09.02.2025</t>
  </si>
  <si>
    <t>09.09.2025</t>
  </si>
  <si>
    <t>09.16.2025</t>
  </si>
  <si>
    <t>09.22.2025</t>
  </si>
  <si>
    <t>09.30.2025</t>
  </si>
  <si>
    <t>10.21.2025</t>
  </si>
  <si>
    <t>10.28.2025</t>
  </si>
  <si>
    <t>11.11.2025</t>
  </si>
  <si>
    <r>
      <rPr>
        <sz val="11"/>
        <color rgb="FF000000"/>
        <rFont val="Aptos Narrow"/>
        <scheme val="minor"/>
      </rPr>
      <t xml:space="preserve">Extract - Business Report
Mode: </t>
    </r>
    <r>
      <rPr>
        <b/>
        <sz val="11"/>
        <color rgb="FF000000"/>
        <rFont val="Aptos Narrow"/>
        <scheme val="minor"/>
      </rPr>
      <t xml:space="preserve">OIC
</t>
    </r>
    <r>
      <rPr>
        <sz val="11"/>
        <color rgb="FF000000"/>
        <rFont val="Aptos Narrow"/>
        <scheme val="minor"/>
      </rPr>
      <t>Flow name: 
Note: To be scheduled post go-live - files to be places on shared network drive.</t>
    </r>
  </si>
  <si>
    <t>09.12.2025</t>
  </si>
  <si>
    <t>Anu</t>
  </si>
  <si>
    <t>Completed. Anu to verify variances</t>
  </si>
  <si>
    <t>Extract complete. Navya sent back test results</t>
  </si>
  <si>
    <t>PJ - Reported few issues on report. Anu is working on and Eligibility changes for CPM and NCPM</t>
  </si>
  <si>
    <t>Currently working on OIC approach for Report. Date to be provided by Anu tomorrow (08.27)</t>
  </si>
  <si>
    <t>Currently working on OIC approach for Report.  ETA :09.05 - Anu to add selection criteria to the extract based on Ravindr's logic
OIC: ETA: 09.03.2025- Ravindr completed Development and yet to test data. Venu to provide file path with Anu.</t>
  </si>
  <si>
    <t>Anu shared extract and observed 3 records have incorrect Social Security wages. 
Anu is waiting for Ravindr to complete OIC part. 
Requested filters: Age 50 or above and No IC TRU's</t>
  </si>
  <si>
    <t xml:space="preserve">Removed Element entries(Percentage) from extract to increase and test run time - Current Run time is 1:05 hrs
</t>
  </si>
  <si>
    <t>Extract completed, waiting for Patrick's part to complete and generate final files.</t>
  </si>
  <si>
    <t>Shared by Anu. 
4 records displayed incorrect Social security wages
Anu to check those differences.</t>
  </si>
  <si>
    <t xml:space="preserve">Anu -Researching incorrect social security wage records. </t>
  </si>
  <si>
    <t>Melisaa provided folder and IT to work with THRU for automatically placing file on network drive</t>
  </si>
  <si>
    <t>Unit Test Extract Data</t>
  </si>
  <si>
    <t>Navya</t>
  </si>
  <si>
    <t>Completed</t>
  </si>
  <si>
    <t>Completed, file uplaoded to Sharepoint</t>
  </si>
  <si>
    <t>Waiting for final files to test and validate</t>
  </si>
  <si>
    <t>Completed and sent to HRIS</t>
  </si>
  <si>
    <t>Test data looks good except 4 off records. validating 401K percentages</t>
  </si>
  <si>
    <t>Review Extract Data</t>
  </si>
  <si>
    <t>PJ</t>
  </si>
  <si>
    <t>In progress</t>
  </si>
  <si>
    <t>reviewed and sent back for data issues</t>
  </si>
  <si>
    <r>
      <rPr>
        <sz val="11"/>
        <color rgb="FF000000"/>
        <rFont val="Aptos Narrow"/>
        <scheme val="minor"/>
      </rPr>
      <t xml:space="preserve">Run HDL to upload data
IT to upload HDL file onto SharePoint folder
</t>
    </r>
    <r>
      <rPr>
        <b/>
        <sz val="11"/>
        <color rgb="FF000000"/>
        <rFont val="Aptos Narrow"/>
        <scheme val="minor"/>
      </rPr>
      <t xml:space="preserve">Path: </t>
    </r>
  </si>
  <si>
    <t>10.03.2025</t>
  </si>
  <si>
    <t>OIC: ETA: 09.03.2025- Ravindr completed Development and yet to test data. Venu to provide file path with Anu.</t>
  </si>
  <si>
    <t>WIP</t>
  </si>
  <si>
    <t>Patrick to generate HDL file from extract and will share with HRIS team by  09.19</t>
  </si>
  <si>
    <t>Anu to update HDL effective date to start of the year.</t>
  </si>
  <si>
    <t>Anu updated HDL effective date critieria to pick year start date.</t>
  </si>
  <si>
    <t>Validate HDL data from extract</t>
  </si>
  <si>
    <t>Ravindr</t>
  </si>
  <si>
    <t>Expected to complete in 2 weeks</t>
  </si>
  <si>
    <t>HDL data is validated and test loader for 1 EE. will update effective date and load CalculationCard.</t>
  </si>
  <si>
    <t>Validate Data if imported all records correctly</t>
  </si>
  <si>
    <t>Review HDL Data</t>
  </si>
  <si>
    <t>9.30.2025</t>
  </si>
  <si>
    <t>Waiting for HDL file to review after unit testing is completed by IT.</t>
  </si>
  <si>
    <t>Run payroll</t>
  </si>
  <si>
    <t>10.10.2025</t>
  </si>
  <si>
    <t>BWFri1 payroll is run and HRIS shared analysis with business</t>
  </si>
  <si>
    <t>401k FF , 401k Roth FF</t>
  </si>
  <si>
    <t>Joel</t>
  </si>
  <si>
    <t>FF is complete, Unit testing is complete. Waiting for all other scenarios to complete and payroll run is pending.</t>
  </si>
  <si>
    <t>Requested Joel to create UDT for business to have control on the limit</t>
  </si>
  <si>
    <t>Testing in progress: Business requested UDT for limit</t>
  </si>
  <si>
    <t>Testing in progress. Complex scenarios were tested and evidences uploaded.</t>
  </si>
  <si>
    <t>Currently in progress</t>
  </si>
  <si>
    <t xml:space="preserve">New Extract - Full File- to load new input value
Mode: Oracle
Flow name: </t>
  </si>
  <si>
    <t>Testing In Progress</t>
  </si>
  <si>
    <t>Yet to start development</t>
  </si>
  <si>
    <t>Anu shared report. Testing in progress</t>
  </si>
  <si>
    <t xml:space="preserve">Anu to share details </t>
  </si>
  <si>
    <t>Anu to schedule a call tomorrow 10.22. to discuss latest changes.</t>
  </si>
  <si>
    <t>Anu fixed the issues and PJ to review - 10.28.25</t>
  </si>
  <si>
    <t xml:space="preserve">New Extract changes only - to load new input value
Mode: Oracle
Flow name: </t>
  </si>
  <si>
    <t>Anu to complete development by 10.31.25</t>
  </si>
  <si>
    <t>Notes:</t>
  </si>
  <si>
    <t>08.05.25</t>
  </si>
  <si>
    <t>If HDL is successful for EE with final close date, extract will include all active and terminated ee of previous year.</t>
  </si>
  <si>
    <t>Test HDL load for Inactive EE in 2025 (elig wages in 2024)</t>
  </si>
  <si>
    <t>10.21.2025:</t>
  </si>
  <si>
    <t>If incorrect social security wages issue is not fixed, we'll have to manually validate and fix the incorrect records flag status</t>
  </si>
  <si>
    <t>Process Sequence</t>
  </si>
  <si>
    <t>Flow Name</t>
  </si>
  <si>
    <t>Prod Migartion</t>
  </si>
  <si>
    <t>Prod - Run time</t>
  </si>
  <si>
    <t>Dev4 timing</t>
  </si>
  <si>
    <t>Dev4 2026 timing</t>
  </si>
  <si>
    <t>Comments</t>
  </si>
  <si>
    <t>Process run time</t>
  </si>
  <si>
    <t>Prod Move</t>
  </si>
  <si>
    <t>OIC flow for Business report with 401k element entries for all Employees</t>
  </si>
  <si>
    <t>EVHC_PAY259_BEN_SS_WAGES_SECURE_GEN_CSV
(Here select Input Parameter Effective Date =2025 and Type = CSV)</t>
  </si>
  <si>
    <t>1/2/2026 - 9 AM CT</t>
  </si>
  <si>
    <t>Complete</t>
  </si>
  <si>
    <t>12/31/25 - Once payrolls for 2025 are closed</t>
  </si>
  <si>
    <t>Flow completes and file is placed on Share point/ network drive</t>
  </si>
  <si>
    <t xml:space="preserve">1/2/2026 - 9AM CST
</t>
  </si>
  <si>
    <t>IT to validate data for Reports and HDL</t>
  </si>
  <si>
    <t>Anu/Navya/Patrick</t>
  </si>
  <si>
    <t>1/2/2026 - 11 AM CST</t>
  </si>
  <si>
    <t>Review Report  by HRIS/ Business  for emp eligibility for secure 2.0</t>
  </si>
  <si>
    <t>PJ/Ramya/Melissa</t>
  </si>
  <si>
    <t>1/2/2026 - EOD</t>
  </si>
  <si>
    <t>OIC flow to update Secure 2.0 Flag on Reporting information - HDL</t>
  </si>
  <si>
    <t>EVHC_PAY259_BEN_SS_WAGES_SECURE_SCH</t>
  </si>
  <si>
    <t>1/2/2026 -  1 PM CST</t>
  </si>
  <si>
    <t>Flow completes and file is placed on Share point</t>
  </si>
  <si>
    <t>Manual HDL Load</t>
  </si>
  <si>
    <t>PJ/Ramya</t>
  </si>
  <si>
    <t>HDL errors review</t>
  </si>
  <si>
    <t>Review HDL Load</t>
  </si>
  <si>
    <t>Eligibility Extract Report</t>
  </si>
  <si>
    <t>EVHC_PAY259_SECURE2_INPUT_VALUE_ENTRY_REPORT</t>
  </si>
  <si>
    <t>Dev19  Flow went to error</t>
  </si>
  <si>
    <t>Eligibility Extract Review  : Run Report for all eligible emps for secure input value update</t>
  </si>
  <si>
    <t xml:space="preserve">Run Yearly HDL Load </t>
  </si>
  <si>
    <t>EVHC_PAY259_SECURE2_INPUT_VALUE_ENTRY_HDL</t>
  </si>
  <si>
    <t>Anu/Navya</t>
  </si>
  <si>
    <t>Add success report to flow</t>
  </si>
  <si>
    <t>Run Yearly HDL Load secure input value update in Debug mode</t>
  </si>
  <si>
    <t>401K FF Code</t>
  </si>
  <si>
    <t>Update FF names</t>
  </si>
  <si>
    <t>1/2/26 - To be completed by 12 NOON CST
COMPLETED - JSJOHNSON - 11:30 AM CST</t>
  </si>
  <si>
    <t>Run Payrolls</t>
  </si>
  <si>
    <t>Run Integration 149</t>
  </si>
  <si>
    <t>Anu/navya/patrick</t>
  </si>
  <si>
    <t>1/2/2026 AT NOON ct</t>
  </si>
  <si>
    <t>MW to send file after payroll run to test 149 and Extract 2 changes only</t>
  </si>
  <si>
    <t>Integration 149 schedule change</t>
  </si>
  <si>
    <t>Navya / Melissa</t>
  </si>
  <si>
    <t>Melissa to confirm</t>
  </si>
  <si>
    <t>Extract 2 - Changes only</t>
  </si>
  <si>
    <t>EVHC Secure 2.0 Changes Load
FF used in above flow :EVHC_SECURE2_ELIG_PRETAX_ELEMENT_ENTRY</t>
  </si>
  <si>
    <t>Only start scheduling from 1/9/25 - 1 hour after 149 Integration</t>
  </si>
  <si>
    <t>11.18: After FF changes, Melissa to validate and confirm</t>
  </si>
  <si>
    <t>Extract 2 - THRU Config</t>
  </si>
  <si>
    <t xml:space="preserve">FTP Folder : PAY_IFI_259_SECURE2.0
</t>
  </si>
  <si>
    <t>IT to review changes only file</t>
  </si>
  <si>
    <t>Extract 2 Changes only - To be scheduled in OIC</t>
  </si>
  <si>
    <t xml:space="preserve">EVHC_PAY_IFI_259_SECURE2_CHANGESONLY_SCH
Lookups : EVHC_Inbound_Intg_Metadata_Lookup,EVHC_HCM_Inbound_Email_LKP,ENV_PAY_Email_Notification_LK
</t>
  </si>
  <si>
    <t>Navya/Patrcik</t>
  </si>
  <si>
    <t>Value sets</t>
  </si>
  <si>
    <t>ENV_GET_259_CHANGESONLY_ASG_VS
ENV_GET_SSW_ELIG_FLAG_CHGONLY_VS</t>
  </si>
  <si>
    <t>Added here on1.8.2026</t>
  </si>
  <si>
    <t>Extract 2 Changes only - HRIS Review</t>
  </si>
  <si>
    <t>PJ/Ramya/melissa</t>
  </si>
  <si>
    <t>Extract 2 - Test load</t>
  </si>
  <si>
    <t>UDT: ENV_PAY_401K_SECURE2_UDT</t>
  </si>
  <si>
    <t xml:space="preserve">                                                                 </t>
  </si>
  <si>
    <t>1/2/26 - To be completed by 12 NOON CST
COMPLETED - PJ - 10:30 AM CST</t>
  </si>
  <si>
    <t>Change Input Value Name - Goal Amount</t>
  </si>
  <si>
    <t>Condition</t>
  </si>
  <si>
    <t>Report</t>
  </si>
  <si>
    <t>Eligibility</t>
  </si>
  <si>
    <t>Employees with Wages &gt;145000 by TRU in previous year for Non CPM PSU
Employees with Wages &gt;145000 by TRU in previous year for CPM PSU
If Federal Tax Limit Enforcement Level = Tax reporting Unit then that TRU is on NON CPM PSU</t>
  </si>
  <si>
    <t>Person Number,Payroll Relationship Number, Legal Employer, Common PayMaster (Yes/No),Tax Reporting Unit, Payroll Statutory Unit, Age,Eligibility flag, Exceeded Limit ( Yes/ No), SS Wages for prev year(Social security reduced subject withholding), Prev Year</t>
  </si>
  <si>
    <t>If eligility is Yes, then Only 401K Roth Catch</t>
  </si>
  <si>
    <t>Element Addition / Deletion</t>
  </si>
  <si>
    <t xml:space="preserve">1- Employees with Wages &gt;145000 by TRU in previous year for CPM PSU &amp; eligiblity - Yes 
Skip 401k  catch up
2-Employees with Wages &gt;145000 by TRU in previous year for Non CPM PSU &amp; eligibility - Yes, for those TRU's - 
only 401k  Roth catch up should be deducted &amp; logic should be changed such that deduction limit should consider only for eligible TRUs.
401k Catch up should not be deducted  
2a - if all TRU's in non CPM for that employee have eligibility - Yes, then skip 401k catch up
for both of above!
</t>
  </si>
  <si>
    <t>Adding 401K Roth Catch up</t>
  </si>
  <si>
    <t>If 401k roth catcup is not added to employee, it should be added manually by benefits team.</t>
  </si>
  <si>
    <t>Attach to eligible employees</t>
  </si>
  <si>
    <t>Check Oracle doc for HDL</t>
  </si>
  <si>
    <t>https://docs.oracle.com/en/cloud/saas/human-resources/25b/falzi/eligibility-for-pretax-catch-up-contributions-for-deferred-compensation-plans.html#Opt-out-individual-employees</t>
  </si>
  <si>
    <t>Add DB item to get eligibility and add to FF</t>
  </si>
  <si>
    <t>Check Oracle doc for DB Item</t>
  </si>
  <si>
    <t>ORA_HRX_US_REP_CARD_ELIGIBLE_PRETAX_CATCHUP</t>
  </si>
  <si>
    <t>FF Changes</t>
  </si>
  <si>
    <t>Depending on TRU ( NON CPM PSU or CPM PSU) &amp; eligibility , We have use approriate Wages to calculate on existing 401k Catch up</t>
  </si>
  <si>
    <t>FF Changes for percentage</t>
  </si>
  <si>
    <t>Add  input values - percentage &amp; Additional Percentage - Secure 2.0  to get the 401k roth catch up percentage</t>
  </si>
  <si>
    <t>IT Design:</t>
  </si>
  <si>
    <t>Payroll flow</t>
  </si>
  <si>
    <t>report to pick eligible employee</t>
  </si>
  <si>
    <t>Include validate step ( manual stop) in the flow</t>
  </si>
  <si>
    <t>HDL Load</t>
  </si>
  <si>
    <t>For CPM: If sum of SS Reduced sub wh of all TRu's of that Payroll Rel crosses 145000, we need to turn flag on.
For NCPM: We need to determine by TRU wages (SS reduced sub wh, If any of the TRU wages crosses 145k, that payroll rel is eligible.</t>
  </si>
  <si>
    <t>report for hdl load status</t>
  </si>
  <si>
    <t>Extract to update new input value  percentage of 401k roth catch up element with 401k catch up percentage</t>
  </si>
  <si>
    <t>Fast formula - calculate values based on eligible logic and hdl</t>
  </si>
  <si>
    <t>call this FF to existing FF ( 401k roth catch up, 401K catch up)</t>
  </si>
  <si>
    <t xml:space="preserve">FF on percentage </t>
  </si>
  <si>
    <t>Dev11</t>
  </si>
  <si>
    <t>Pretax only example - EE has only pretax election. For entities in which wage threshold was met in prior year, the 10% pretax will need to be automatically directed to the Roth Catchup.</t>
  </si>
  <si>
    <t>This is for new year - In current case - its 2026</t>
  </si>
  <si>
    <t>For Non CPM PSU- TRUs</t>
  </si>
  <si>
    <t>Employee Deferral % (Election at Fidelity)</t>
  </si>
  <si>
    <t>wages</t>
  </si>
  <si>
    <t>Pretax 401K Contrib</t>
  </si>
  <si>
    <t>401K Roth Contrib</t>
  </si>
  <si>
    <t>401k Catch up - pretax %</t>
  </si>
  <si>
    <t>401k catch up - pretax deduction</t>
  </si>
  <si>
    <t>401k  roth catch up%</t>
  </si>
  <si>
    <t>401k roth catch up - deduction</t>
  </si>
  <si>
    <t>Arizona Perinatal Care Centers LLC - Eligible</t>
  </si>
  <si>
    <t>10% Pretax/0% 401K Roth</t>
  </si>
  <si>
    <t>Sheridan Healthcare Inc.  - Not eligible</t>
  </si>
  <si>
    <t>Pretax &amp; Roth 401k example - 5% - pretax and 5% - Roth = under entity where wage threshold was met, total Roth percentage should be 10% to account for both "5%'s"</t>
  </si>
  <si>
    <t>5% Pretax/5% 401K Roth</t>
  </si>
  <si>
    <t>Roth 401k only example - EE has only Roth 401k election. For entities in which wage threshold was met in prior year, the 10% Roth election will hold across all entities.</t>
  </si>
  <si>
    <t>0% Pretax/10% 401K Roth</t>
  </si>
  <si>
    <t>HRIS Questions</t>
  </si>
  <si>
    <t>How do we handle election changes through out the new year</t>
  </si>
  <si>
    <t>example on Row 108 - if employee chooses to start his pretax , then what would be roth % ?</t>
  </si>
  <si>
    <t>example on Row 101 - if employee chooses to change his pretax , then what would be roth % ?</t>
  </si>
  <si>
    <t>do you want visibility to roth catch up% for TRU that are eliglible and  have pre and post tax elements</t>
  </si>
  <si>
    <t>Example on rows 101,102</t>
  </si>
  <si>
    <t>Current Percentage</t>
  </si>
  <si>
    <t>Additional Percentage - Secure 2.0</t>
  </si>
  <si>
    <t>Total Percentage for calculation</t>
  </si>
  <si>
    <t>401k CATCH UP</t>
  </si>
  <si>
    <t>NA</t>
  </si>
  <si>
    <t>401k roth catch up</t>
  </si>
  <si>
    <t>Percentages from Element entries</t>
  </si>
  <si>
    <t>TBD</t>
  </si>
  <si>
    <t>Important consideration for extract</t>
  </si>
  <si>
    <t>Person Number</t>
  </si>
  <si>
    <t>Payroll Relationship Number</t>
  </si>
  <si>
    <t>Legal Employer</t>
  </si>
  <si>
    <t>Common PayMaster (Yes/No)</t>
  </si>
  <si>
    <t>Tax Reporting Unit</t>
  </si>
  <si>
    <t>Payroll Statutory Unit</t>
  </si>
  <si>
    <t>Age( As of 12/31/2025)</t>
  </si>
  <si>
    <t>Eligibility flag</t>
  </si>
  <si>
    <t>Exceeded Limit ( Yes/ No)</t>
  </si>
  <si>
    <t xml:space="preserve"> SS Wages for prev year(Social security reduced subject withholding)</t>
  </si>
  <si>
    <t xml:space="preserve"> Prev Year</t>
  </si>
  <si>
    <t>401K Pretax</t>
  </si>
  <si>
    <t>401K Catch-up</t>
  </si>
  <si>
    <t>401K Roth</t>
  </si>
  <si>
    <t>401K Roth Catch-up</t>
  </si>
  <si>
    <t>Secure 2.0  Prcentage</t>
  </si>
  <si>
    <t>Effective date of the report (paramater): 01.01.2026</t>
  </si>
  <si>
    <t>Greater Florida Anesthesiologists LLC</t>
  </si>
  <si>
    <t>No</t>
  </si>
  <si>
    <t>Greater Florida Anesthesiologists LLC(27-0602251)</t>
  </si>
  <si>
    <t>Envision Physician Services, LLC</t>
  </si>
  <si>
    <t>Yes</t>
  </si>
  <si>
    <t>Dates to check wages: Effective date year - 1, so it will be 2025 wages in this case.</t>
  </si>
  <si>
    <t>Morristown Emergency Medical Associates LLC</t>
  </si>
  <si>
    <t>Morristown Emergency Medical Associates LLC(26-4467460)</t>
  </si>
  <si>
    <t>Emergency Medical Associates of New Jersey PA</t>
  </si>
  <si>
    <t>Element entries: to check as of sys date.</t>
  </si>
  <si>
    <t>Jupiter Anesthesia Associates L.L.C.</t>
  </si>
  <si>
    <t>EE in both Common/NonCPM</t>
  </si>
  <si>
    <t>Lawnwood Anesthesia Providers, LLC(85-2310942)</t>
  </si>
  <si>
    <t>Lawnwood Anesthesia Providers, LLC</t>
  </si>
  <si>
    <t>FL-I Medical Services LLC</t>
  </si>
  <si>
    <t>10548-1</t>
  </si>
  <si>
    <t>Anesthesia Physician Solutions of South Florida LLC(46-4364900)</t>
  </si>
  <si>
    <t>Anesthesia Physician Solutions of South Florida LLC</t>
  </si>
  <si>
    <t>HCA-Sheridan Holdings LLC</t>
  </si>
  <si>
    <t>227380-1</t>
  </si>
  <si>
    <t>Kentucky EM-I Medical Services(75-2772210)</t>
  </si>
  <si>
    <t xml:space="preserve">No </t>
  </si>
  <si>
    <t>Emergency Care Physicians of Washington LLC(26-2315767)</t>
  </si>
  <si>
    <t>New Jersey/Penn EM-I Medical Services</t>
  </si>
  <si>
    <t>Not Eligible</t>
  </si>
  <si>
    <t>Velasco Inpatient Services PLLC(27-4976722)</t>
  </si>
  <si>
    <t>Inpatient Services of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</si>
</sst>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#,##0.00;\-#,##0.00"/>
  </numFmts>
  <fonts count="1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rgb="FF9C0006"/>
      <name val="Arial"/>
      <family val="2"/>
    </font>
    <font>
      <sz val="11"/>
      <color rgb="FF000000"/>
      <name val="-Apple-System"/>
      <charset val="1"/>
    </font>
    <font>
      <sz val="11"/>
      <color rgb="FF707070"/>
      <name val="-Apple-System"/>
      <charset val="1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"/>
    </font>
    <font>
      <sz val="11"/>
      <color theme="1"/>
      <name val="-Apple-System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2" fillId="2" borderId="1" xfId="0" applyFont="1" applyFill="1" applyBorder="1"/>
    <xf numFmtId="0" fontId="0" fillId="0" borderId="1" xfId="0" applyBorder="1"/>
    <xf numFmtId="0" fontId="2" fillId="2" borderId="2" xfId="0" applyFont="1" applyFill="1" applyBorder="1"/>
    <xf numFmtId="0" fontId="0" fillId="0" borderId="2" xfId="0" applyBorder="1"/>
    <xf numFmtId="0" fontId="3" fillId="0" borderId="0" xfId="0" applyFont="1"/>
    <xf numFmtId="0" fontId="0" fillId="2" borderId="1" xfId="0" applyFill="1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3" borderId="1" xfId="0" applyFont="1" applyFill="1" applyBorder="1"/>
    <xf numFmtId="0" fontId="4" fillId="3" borderId="2" xfId="0" applyFont="1" applyFill="1" applyBorder="1"/>
    <xf numFmtId="164" fontId="0" fillId="3" borderId="2" xfId="0" applyNumberFormat="1" applyFill="1" applyBorder="1"/>
    <xf numFmtId="16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164" fontId="5" fillId="3" borderId="1" xfId="0" applyNumberFormat="1" applyFont="1" applyFill="1" applyBorder="1"/>
    <xf numFmtId="0" fontId="5" fillId="3" borderId="3" xfId="0" applyFont="1" applyFill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164" fontId="0" fillId="0" borderId="2" xfId="0" applyNumberFormat="1" applyBorder="1"/>
    <xf numFmtId="164" fontId="0" fillId="0" borderId="1" xfId="0" applyNumberForma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164" fontId="6" fillId="3" borderId="1" xfId="0" applyNumberFormat="1" applyFont="1" applyFill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/>
    <xf numFmtId="0" fontId="2" fillId="2" borderId="0" xfId="0" applyFont="1" applyFill="1"/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0" fillId="2" borderId="0" xfId="0" applyFill="1"/>
    <xf numFmtId="0" fontId="8" fillId="5" borderId="1" xfId="0" applyFont="1" applyFill="1" applyBorder="1"/>
    <xf numFmtId="0" fontId="8" fillId="5" borderId="5" xfId="0" applyFont="1" applyFill="1" applyBorder="1"/>
    <xf numFmtId="0" fontId="8" fillId="0" borderId="0" xfId="0" applyFont="1"/>
    <xf numFmtId="0" fontId="8" fillId="0" borderId="1" xfId="0" applyFont="1" applyBorder="1"/>
    <xf numFmtId="4" fontId="8" fillId="0" borderId="1" xfId="0" applyNumberFormat="1" applyFont="1" applyBorder="1"/>
    <xf numFmtId="0" fontId="8" fillId="0" borderId="5" xfId="0" applyFont="1" applyBorder="1"/>
    <xf numFmtId="4" fontId="8" fillId="0" borderId="5" xfId="0" applyNumberFormat="1" applyFont="1" applyBorder="1"/>
    <xf numFmtId="0" fontId="8" fillId="5" borderId="0" xfId="0" applyFont="1" applyFill="1"/>
    <xf numFmtId="4" fontId="8" fillId="0" borderId="0" xfId="0" applyNumberFormat="1" applyFont="1"/>
    <xf numFmtId="0" fontId="9" fillId="6" borderId="1" xfId="0" applyFont="1" applyFill="1" applyBorder="1"/>
    <xf numFmtId="0" fontId="5" fillId="0" borderId="1" xfId="0" applyFont="1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2" fillId="7" borderId="0" xfId="0" applyFont="1" applyFill="1"/>
    <xf numFmtId="0" fontId="10" fillId="8" borderId="0" xfId="0" applyFont="1" applyFill="1" applyAlignment="1">
      <alignment wrapText="1"/>
    </xf>
    <xf numFmtId="0" fontId="11" fillId="8" borderId="0" xfId="0" applyFont="1" applyFill="1" applyAlignment="1">
      <alignment wrapText="1"/>
    </xf>
    <xf numFmtId="15" fontId="2" fillId="0" borderId="1" xfId="0" applyNumberFormat="1" applyFont="1" applyBorder="1"/>
    <xf numFmtId="14" fontId="0" fillId="0" borderId="0" xfId="0" applyNumberFormat="1"/>
    <xf numFmtId="0" fontId="12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14" fillId="0" borderId="0" xfId="0" applyFont="1"/>
    <xf numFmtId="0" fontId="14" fillId="0" borderId="0" xfId="0" applyFont="1" applyAlignment="1">
      <alignment wrapText="1"/>
    </xf>
    <xf numFmtId="14" fontId="0" fillId="2" borderId="0" xfId="0" applyNumberFormat="1" applyFill="1"/>
    <xf numFmtId="0" fontId="15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14" fontId="0" fillId="9" borderId="0" xfId="0" applyNumberFormat="1" applyFill="1" applyAlignment="1">
      <alignment wrapText="1"/>
    </xf>
    <xf numFmtId="14" fontId="0" fillId="0" borderId="0" xfId="0" applyNumberFormat="1" applyAlignment="1">
      <alignment wrapText="1"/>
    </xf>
    <xf numFmtId="0" fontId="2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57150</xdr:rowOff>
    </xdr:from>
    <xdr:to>
      <xdr:col>4</xdr:col>
      <xdr:colOff>891540</xdr:colOff>
      <xdr:row>1</xdr:row>
      <xdr:rowOff>931545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9BB7E6F9-B7A1-4585-950F-ADCBAC21C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6850" y="57150"/>
          <a:ext cx="4572000" cy="1057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2</xdr:col>
      <xdr:colOff>1859280</xdr:colOff>
      <xdr:row>31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769E94-2AF2-441B-AA37-DEE93C32DD11}"/>
            </a:ext>
            <a:ext uri="{147F2762-F138-4A5C-976F-8EAC2B608ADB}">
              <a16:predDERef xmlns:a16="http://schemas.microsoft.com/office/drawing/2014/main" pred="{9BB7E6F9-B7A1-4585-950F-ADCBAC21C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20000"/>
          <a:ext cx="6581775" cy="3400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3</xdr:col>
      <xdr:colOff>1744980</xdr:colOff>
      <xdr:row>47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9DFCE8-7477-48D2-A517-15C030AB8A7D}"/>
            </a:ext>
            <a:ext uri="{147F2762-F138-4A5C-976F-8EAC2B608ADB}">
              <a16:predDERef xmlns:a16="http://schemas.microsoft.com/office/drawing/2014/main" pred="{80769E94-2AF2-441B-AA37-DEE93C32D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430000"/>
          <a:ext cx="8705850" cy="24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9525</xdr:rowOff>
    </xdr:from>
    <xdr:to>
      <xdr:col>1</xdr:col>
      <xdr:colOff>1428750</xdr:colOff>
      <xdr:row>72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52EDCC-BCB0-4733-942C-F88394325356}"/>
            </a:ext>
            <a:ext uri="{147F2762-F138-4A5C-976F-8EAC2B608ADB}">
              <a16:predDERef xmlns:a16="http://schemas.microsoft.com/office/drawing/2014/main" pred="{A79DFCE8-7477-48D2-A517-15C030AB8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106525"/>
          <a:ext cx="3952875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oracle.com/en/cloud/saas/human-resources/25b/falzi/eligibility-for-pretax-catch-up-contributions-for-deferred-compensation-pla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zoomScaleNormal="100" zoomScaleSheetLayoutView="50" workbookViewId="0">
      <pane xSplit="1" topLeftCell="B11" activePane="topRight" state="frozen"/>
      <selection pane="topRight" activeCell="A11" sqref="A11"/>
      <selection activeCell="A10" sqref="A10"/>
    </sheetView>
  </sheetViews>
  <sheetFormatPr defaultRowHeight="14.45"/>
  <cols>
    <col min="1" max="1" width="41.5703125" customWidth="1"/>
    <col min="2" max="2" width="30.140625" customWidth="1"/>
    <col min="3" max="3" width="22" customWidth="1"/>
    <col min="4" max="4" width="32.5703125" customWidth="1"/>
    <col min="5" max="5" width="42.5703125" hidden="1" customWidth="1"/>
    <col min="6" max="6" width="42" hidden="1" customWidth="1"/>
    <col min="7" max="7" width="42.5703125" hidden="1" customWidth="1"/>
    <col min="8" max="8" width="32.85546875" hidden="1" customWidth="1"/>
    <col min="9" max="9" width="31.5703125" hidden="1" customWidth="1"/>
    <col min="10" max="10" width="35" hidden="1" customWidth="1"/>
    <col min="11" max="11" width="32.85546875" hidden="1" customWidth="1"/>
    <col min="12" max="12" width="30.5703125" hidden="1" customWidth="1"/>
    <col min="13" max="13" width="33.7109375" customWidth="1"/>
    <col min="14" max="14" width="35" customWidth="1"/>
    <col min="15" max="15" width="43" hidden="1" customWidth="1"/>
    <col min="16" max="16" width="27.28515625" customWidth="1"/>
  </cols>
  <sheetData>
    <row r="1" spans="1:16">
      <c r="A1" s="3" t="s">
        <v>0</v>
      </c>
      <c r="B1" s="5" t="s">
        <v>1</v>
      </c>
      <c r="C1" s="5" t="s">
        <v>2</v>
      </c>
      <c r="D1" s="5" t="s">
        <v>3</v>
      </c>
    </row>
    <row r="2" spans="1:16">
      <c r="A2" s="4" t="s">
        <v>4</v>
      </c>
      <c r="B2" s="6" t="s">
        <v>5</v>
      </c>
      <c r="C2" s="6" t="s">
        <v>5</v>
      </c>
      <c r="D2" s="4" t="s">
        <v>6</v>
      </c>
    </row>
    <row r="3" spans="1:16">
      <c r="A3" s="4" t="s">
        <v>7</v>
      </c>
      <c r="B3" s="6" t="s">
        <v>8</v>
      </c>
      <c r="C3" s="6" t="s">
        <v>9</v>
      </c>
      <c r="D3" s="4" t="s">
        <v>10</v>
      </c>
    </row>
    <row r="4" spans="1:16">
      <c r="A4" s="4" t="s">
        <v>11</v>
      </c>
      <c r="B4" s="6" t="s">
        <v>12</v>
      </c>
      <c r="C4" s="6" t="s">
        <v>13</v>
      </c>
      <c r="D4" s="4" t="s">
        <v>10</v>
      </c>
    </row>
    <row r="5" spans="1:16">
      <c r="A5" s="4" t="s">
        <v>14</v>
      </c>
      <c r="B5" s="6" t="s">
        <v>15</v>
      </c>
      <c r="C5" s="6" t="s">
        <v>16</v>
      </c>
      <c r="D5" s="4" t="s">
        <v>17</v>
      </c>
    </row>
    <row r="6" spans="1:16">
      <c r="A6" s="4" t="s">
        <v>18</v>
      </c>
      <c r="B6" s="6" t="s">
        <v>19</v>
      </c>
      <c r="C6" s="6" t="s">
        <v>20</v>
      </c>
      <c r="D6" s="4" t="s">
        <v>17</v>
      </c>
    </row>
    <row r="7" spans="1:16">
      <c r="A7" s="4" t="s">
        <v>21</v>
      </c>
      <c r="B7" s="6" t="s">
        <v>22</v>
      </c>
      <c r="C7" s="6" t="s">
        <v>23</v>
      </c>
      <c r="D7" s="4" t="s">
        <v>10</v>
      </c>
    </row>
    <row r="8" spans="1:16">
      <c r="A8" s="4" t="s">
        <v>24</v>
      </c>
      <c r="B8" s="6" t="s">
        <v>25</v>
      </c>
      <c r="C8" s="6" t="s">
        <v>25</v>
      </c>
      <c r="D8" s="4" t="s">
        <v>26</v>
      </c>
    </row>
    <row r="11" spans="1:16" ht="15">
      <c r="A11" s="3" t="s">
        <v>27</v>
      </c>
      <c r="B11" s="3" t="s">
        <v>28</v>
      </c>
      <c r="C11" s="3" t="s">
        <v>29</v>
      </c>
      <c r="D11" s="5" t="s">
        <v>30</v>
      </c>
      <c r="E11" s="5" t="s">
        <v>31</v>
      </c>
      <c r="F11" s="35" t="s">
        <v>32</v>
      </c>
      <c r="G11" s="35" t="s">
        <v>33</v>
      </c>
      <c r="H11" s="5" t="s">
        <v>34</v>
      </c>
      <c r="I11" s="5" t="s">
        <v>35</v>
      </c>
      <c r="J11" s="35" t="s">
        <v>36</v>
      </c>
      <c r="K11" s="35" t="s">
        <v>37</v>
      </c>
      <c r="L11" s="35" t="s">
        <v>38</v>
      </c>
      <c r="M11" s="35" t="s">
        <v>39</v>
      </c>
      <c r="N11" s="35" t="s">
        <v>40</v>
      </c>
      <c r="O11" s="35" t="s">
        <v>41</v>
      </c>
      <c r="P11" s="35" t="s">
        <v>42</v>
      </c>
    </row>
    <row r="12" spans="1:16" ht="72.75">
      <c r="A12" s="60" t="s">
        <v>43</v>
      </c>
      <c r="B12" s="58" t="s">
        <v>44</v>
      </c>
      <c r="C12" s="10" t="s">
        <v>45</v>
      </c>
      <c r="D12" s="54" t="s">
        <v>46</v>
      </c>
      <c r="E12" s="6" t="s">
        <v>47</v>
      </c>
      <c r="F12" s="1" t="s">
        <v>48</v>
      </c>
      <c r="G12" s="1" t="s">
        <v>48</v>
      </c>
      <c r="H12" s="1" t="s">
        <v>49</v>
      </c>
      <c r="I12" s="61" t="s">
        <v>50</v>
      </c>
      <c r="J12" s="1" t="s">
        <v>51</v>
      </c>
      <c r="K12" s="1" t="s">
        <v>52</v>
      </c>
      <c r="L12" s="1" t="s">
        <v>53</v>
      </c>
      <c r="M12" s="1" t="s">
        <v>54</v>
      </c>
      <c r="N12" s="1" t="s">
        <v>55</v>
      </c>
      <c r="O12" t="s">
        <v>56</v>
      </c>
    </row>
    <row r="13" spans="1:16" ht="29.25">
      <c r="A13" s="4" t="s">
        <v>57</v>
      </c>
      <c r="B13" s="58" t="s">
        <v>44</v>
      </c>
      <c r="C13" s="10" t="s">
        <v>58</v>
      </c>
      <c r="D13" s="6" t="s">
        <v>59</v>
      </c>
      <c r="E13" s="6" t="s">
        <v>60</v>
      </c>
      <c r="L13" s="1" t="s">
        <v>61</v>
      </c>
      <c r="M13" t="s">
        <v>62</v>
      </c>
      <c r="N13" s="1" t="s">
        <v>63</v>
      </c>
    </row>
    <row r="14" spans="1:16" ht="29.25">
      <c r="A14" s="4" t="s">
        <v>64</v>
      </c>
      <c r="B14" s="58" t="s">
        <v>44</v>
      </c>
      <c r="C14" s="10" t="s">
        <v>65</v>
      </c>
      <c r="D14" s="6" t="s">
        <v>59</v>
      </c>
      <c r="E14" s="6" t="s">
        <v>66</v>
      </c>
      <c r="H14" t="s">
        <v>67</v>
      </c>
      <c r="L14" s="1" t="s">
        <v>61</v>
      </c>
      <c r="N14" s="1" t="s">
        <v>63</v>
      </c>
    </row>
    <row r="15" spans="1:16" ht="48" customHeight="1">
      <c r="A15" s="60" t="s">
        <v>68</v>
      </c>
      <c r="B15" s="58" t="s">
        <v>69</v>
      </c>
      <c r="C15" s="10" t="s">
        <v>65</v>
      </c>
      <c r="D15" s="6"/>
      <c r="E15" s="6" t="s">
        <v>66</v>
      </c>
      <c r="I15" s="1" t="s">
        <v>70</v>
      </c>
      <c r="J15" t="s">
        <v>71</v>
      </c>
      <c r="K15" s="1" t="s">
        <v>72</v>
      </c>
      <c r="L15" s="1" t="s">
        <v>61</v>
      </c>
      <c r="M15" s="1" t="s">
        <v>73</v>
      </c>
      <c r="N15" s="1" t="s">
        <v>74</v>
      </c>
    </row>
    <row r="16" spans="1:16" ht="43.5">
      <c r="A16" s="4" t="s">
        <v>75</v>
      </c>
      <c r="B16" s="58" t="s">
        <v>69</v>
      </c>
      <c r="C16" s="10" t="s">
        <v>76</v>
      </c>
      <c r="D16" s="6" t="s">
        <v>77</v>
      </c>
      <c r="E16" s="6" t="s">
        <v>66</v>
      </c>
      <c r="J16" t="s">
        <v>71</v>
      </c>
      <c r="L16" s="1" t="s">
        <v>61</v>
      </c>
      <c r="M16" s="1" t="s">
        <v>78</v>
      </c>
      <c r="N16" s="1" t="s">
        <v>74</v>
      </c>
    </row>
    <row r="17" spans="1:15" ht="28.9">
      <c r="A17" s="4" t="s">
        <v>79</v>
      </c>
      <c r="B17" s="58" t="s">
        <v>69</v>
      </c>
      <c r="C17" s="10" t="s">
        <v>58</v>
      </c>
      <c r="D17" s="6"/>
      <c r="E17" s="6" t="s">
        <v>66</v>
      </c>
      <c r="L17" s="1" t="s">
        <v>61</v>
      </c>
    </row>
    <row r="18" spans="1:15" ht="28.9">
      <c r="A18" s="4" t="s">
        <v>80</v>
      </c>
      <c r="B18" s="58" t="s">
        <v>81</v>
      </c>
      <c r="C18" s="10" t="s">
        <v>65</v>
      </c>
      <c r="D18" s="6" t="s">
        <v>59</v>
      </c>
      <c r="E18" s="6" t="s">
        <v>66</v>
      </c>
      <c r="K18" s="1" t="s">
        <v>82</v>
      </c>
      <c r="L18" s="1" t="s">
        <v>61</v>
      </c>
    </row>
    <row r="19" spans="1:15" ht="29.25">
      <c r="A19" s="4" t="s">
        <v>83</v>
      </c>
      <c r="B19" s="58" t="s">
        <v>84</v>
      </c>
      <c r="C19" s="10" t="s">
        <v>65</v>
      </c>
      <c r="D19" s="6"/>
      <c r="E19" s="6" t="s">
        <v>66</v>
      </c>
      <c r="K19" s="1" t="s">
        <v>82</v>
      </c>
      <c r="M19" t="s">
        <v>71</v>
      </c>
      <c r="N19" s="1" t="s">
        <v>85</v>
      </c>
    </row>
    <row r="20" spans="1:15" ht="57.75">
      <c r="A20" s="4" t="s">
        <v>86</v>
      </c>
      <c r="B20" s="58" t="s">
        <v>84</v>
      </c>
      <c r="C20" s="10" t="s">
        <v>87</v>
      </c>
      <c r="D20" s="54" t="s">
        <v>88</v>
      </c>
      <c r="E20" s="6" t="s">
        <v>66</v>
      </c>
      <c r="F20" s="1" t="s">
        <v>89</v>
      </c>
      <c r="H20" s="1" t="s">
        <v>90</v>
      </c>
      <c r="I20" s="1" t="s">
        <v>91</v>
      </c>
      <c r="L20" t="s">
        <v>92</v>
      </c>
      <c r="M20" t="s">
        <v>71</v>
      </c>
      <c r="N20" s="1" t="s">
        <v>85</v>
      </c>
    </row>
    <row r="21" spans="1:15" ht="55.5" customHeight="1">
      <c r="A21" s="53" t="s">
        <v>93</v>
      </c>
      <c r="B21" s="58">
        <v>45905</v>
      </c>
      <c r="C21" s="10" t="s">
        <v>45</v>
      </c>
      <c r="D21" s="6" t="s">
        <v>94</v>
      </c>
      <c r="E21" s="6" t="s">
        <v>95</v>
      </c>
      <c r="H21" t="s">
        <v>96</v>
      </c>
      <c r="I21" t="s">
        <v>96</v>
      </c>
      <c r="J21" t="s">
        <v>96</v>
      </c>
      <c r="M21" t="s">
        <v>97</v>
      </c>
      <c r="N21" s="1" t="s">
        <v>98</v>
      </c>
      <c r="O21" t="s">
        <v>99</v>
      </c>
    </row>
    <row r="22" spans="1:15" ht="57.75">
      <c r="A22" s="53" t="s">
        <v>100</v>
      </c>
      <c r="B22" s="58">
        <v>45905</v>
      </c>
      <c r="C22" s="10" t="s">
        <v>45</v>
      </c>
      <c r="D22" s="6" t="s">
        <v>94</v>
      </c>
      <c r="E22" s="6" t="s">
        <v>95</v>
      </c>
      <c r="H22" t="s">
        <v>96</v>
      </c>
      <c r="I22" t="s">
        <v>96</v>
      </c>
      <c r="J22" t="s">
        <v>96</v>
      </c>
      <c r="M22" t="s">
        <v>97</v>
      </c>
      <c r="N22" s="1" t="s">
        <v>98</v>
      </c>
      <c r="O22" t="s">
        <v>101</v>
      </c>
    </row>
    <row r="24" spans="1:15">
      <c r="A24" s="35" t="s">
        <v>102</v>
      </c>
    </row>
    <row r="26" spans="1:15">
      <c r="A26" s="9" t="s">
        <v>103</v>
      </c>
    </row>
    <row r="27" spans="1:15">
      <c r="A27" t="s">
        <v>104</v>
      </c>
    </row>
    <row r="29" spans="1:15">
      <c r="A29" s="59">
        <v>45916</v>
      </c>
    </row>
    <row r="30" spans="1:15">
      <c r="A30" t="s">
        <v>105</v>
      </c>
    </row>
    <row r="33" spans="1:1">
      <c r="A33" t="s">
        <v>106</v>
      </c>
    </row>
    <row r="34" spans="1:1" ht="43.5">
      <c r="A34" s="1" t="s">
        <v>107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D5D5-A201-423C-A623-30CDB7CEF34F}">
  <dimension ref="A1:K28"/>
  <sheetViews>
    <sheetView tabSelected="1" topLeftCell="A9" workbookViewId="0">
      <selection activeCell="D24" sqref="D24"/>
    </sheetView>
  </sheetViews>
  <sheetFormatPr defaultRowHeight="15" customHeight="1"/>
  <cols>
    <col min="1" max="1" width="47.42578125" customWidth="1"/>
    <col min="2" max="2" width="58.5703125" customWidth="1"/>
    <col min="3" max="4" width="18.7109375" customWidth="1"/>
    <col min="5" max="5" width="55.85546875" customWidth="1"/>
    <col min="6" max="6" width="27.140625" customWidth="1"/>
    <col min="7" max="7" width="18.7109375" customWidth="1"/>
    <col min="8" max="8" width="62.28515625" customWidth="1"/>
    <col min="9" max="9" width="18.7109375" customWidth="1"/>
    <col min="10" max="10" width="49.85546875" customWidth="1"/>
  </cols>
  <sheetData>
    <row r="1" spans="1:11">
      <c r="A1" s="35" t="s">
        <v>108</v>
      </c>
      <c r="B1" s="35" t="s">
        <v>109</v>
      </c>
      <c r="C1" s="35" t="s">
        <v>29</v>
      </c>
      <c r="D1" s="35" t="s">
        <v>110</v>
      </c>
      <c r="E1" s="35" t="s">
        <v>111</v>
      </c>
      <c r="F1" s="35" t="s">
        <v>112</v>
      </c>
      <c r="G1" s="35" t="s">
        <v>113</v>
      </c>
      <c r="H1" s="35" t="s">
        <v>114</v>
      </c>
      <c r="I1" s="35" t="s">
        <v>115</v>
      </c>
      <c r="J1" s="35" t="s">
        <v>116</v>
      </c>
    </row>
    <row r="2" spans="1:11" ht="29.25">
      <c r="A2" t="s">
        <v>117</v>
      </c>
      <c r="B2" s="63" t="s">
        <v>118</v>
      </c>
      <c r="C2" t="s">
        <v>45</v>
      </c>
      <c r="D2" s="59">
        <v>46010</v>
      </c>
      <c r="E2" s="59" t="s">
        <v>119</v>
      </c>
      <c r="F2" s="59">
        <v>45964</v>
      </c>
      <c r="G2" s="59" t="s">
        <v>120</v>
      </c>
      <c r="H2" s="59"/>
      <c r="I2" s="59"/>
      <c r="J2" t="s">
        <v>121</v>
      </c>
    </row>
    <row r="3" spans="1:11" ht="29.25">
      <c r="A3" t="s">
        <v>122</v>
      </c>
      <c r="C3" t="s">
        <v>45</v>
      </c>
      <c r="E3" s="1" t="s">
        <v>123</v>
      </c>
      <c r="F3" s="59">
        <v>45966</v>
      </c>
      <c r="G3" s="59" t="s">
        <v>120</v>
      </c>
      <c r="H3" s="59"/>
      <c r="I3" s="59"/>
      <c r="J3" s="59">
        <v>46022</v>
      </c>
    </row>
    <row r="4" spans="1:11">
      <c r="A4" t="s">
        <v>124</v>
      </c>
      <c r="C4" t="s">
        <v>125</v>
      </c>
      <c r="E4" s="59" t="s">
        <v>126</v>
      </c>
      <c r="F4" s="59"/>
      <c r="G4" s="59" t="s">
        <v>120</v>
      </c>
      <c r="H4" s="59"/>
      <c r="I4" s="59"/>
      <c r="J4" s="59"/>
    </row>
    <row r="5" spans="1:11">
      <c r="A5" t="s">
        <v>127</v>
      </c>
      <c r="B5" s="62"/>
      <c r="C5" t="s">
        <v>128</v>
      </c>
      <c r="E5" s="59" t="s">
        <v>129</v>
      </c>
      <c r="F5" s="59">
        <v>45966</v>
      </c>
      <c r="G5" s="59">
        <v>45979</v>
      </c>
      <c r="H5" s="59"/>
      <c r="I5" s="59"/>
      <c r="J5" s="59">
        <v>46024</v>
      </c>
    </row>
    <row r="6" spans="1:11">
      <c r="A6" t="s">
        <v>130</v>
      </c>
      <c r="B6" s="7" t="s">
        <v>131</v>
      </c>
      <c r="C6" t="s">
        <v>45</v>
      </c>
      <c r="D6" s="59">
        <v>46010</v>
      </c>
      <c r="E6" t="s">
        <v>132</v>
      </c>
      <c r="F6" t="s">
        <v>120</v>
      </c>
      <c r="G6" s="59">
        <v>45980</v>
      </c>
      <c r="H6" s="59"/>
      <c r="J6" s="59"/>
    </row>
    <row r="7" spans="1:11">
      <c r="A7" t="s">
        <v>133</v>
      </c>
      <c r="C7" t="s">
        <v>45</v>
      </c>
      <c r="E7" s="59">
        <v>46024</v>
      </c>
      <c r="F7" t="s">
        <v>120</v>
      </c>
      <c r="G7" s="59">
        <v>45980</v>
      </c>
      <c r="H7" s="59"/>
      <c r="J7" s="59"/>
    </row>
    <row r="8" spans="1:11">
      <c r="A8" t="s">
        <v>134</v>
      </c>
      <c r="C8" s="40" t="s">
        <v>135</v>
      </c>
      <c r="D8" s="40"/>
      <c r="E8" s="64">
        <v>46025</v>
      </c>
      <c r="F8" t="s">
        <v>120</v>
      </c>
      <c r="G8" s="59">
        <v>45980</v>
      </c>
      <c r="H8" s="59"/>
      <c r="J8" s="59">
        <v>46024</v>
      </c>
      <c r="K8" s="59"/>
    </row>
    <row r="9" spans="1:11">
      <c r="A9" t="s">
        <v>136</v>
      </c>
      <c r="C9" s="40" t="s">
        <v>45</v>
      </c>
      <c r="D9" s="40"/>
      <c r="E9" s="64">
        <v>46025</v>
      </c>
      <c r="G9" s="59"/>
      <c r="H9" s="59"/>
      <c r="J9" s="59"/>
      <c r="K9" s="59"/>
    </row>
    <row r="10" spans="1:11">
      <c r="A10" t="s">
        <v>137</v>
      </c>
      <c r="C10" t="s">
        <v>135</v>
      </c>
      <c r="E10" s="64">
        <v>46025</v>
      </c>
      <c r="F10" t="s">
        <v>120</v>
      </c>
      <c r="G10" s="59">
        <v>45980</v>
      </c>
      <c r="H10" s="59"/>
      <c r="J10" s="59">
        <v>46024</v>
      </c>
    </row>
    <row r="11" spans="1:11">
      <c r="A11" s="67" t="s">
        <v>138</v>
      </c>
      <c r="B11" s="67" t="s">
        <v>139</v>
      </c>
      <c r="C11" t="s">
        <v>45</v>
      </c>
      <c r="D11" s="59">
        <v>46010</v>
      </c>
      <c r="F11" t="s">
        <v>120</v>
      </c>
      <c r="G11" s="59">
        <v>45980</v>
      </c>
      <c r="H11" s="59" t="s">
        <v>140</v>
      </c>
      <c r="I11" s="59"/>
      <c r="J11" s="59">
        <v>46024</v>
      </c>
    </row>
    <row r="12" spans="1:11">
      <c r="A12" t="s">
        <v>141</v>
      </c>
      <c r="C12" t="s">
        <v>128</v>
      </c>
      <c r="E12" s="59">
        <v>46025</v>
      </c>
      <c r="G12" s="59"/>
      <c r="H12" s="59"/>
      <c r="I12" s="59"/>
      <c r="J12" s="59"/>
    </row>
    <row r="13" spans="1:11">
      <c r="A13" t="s">
        <v>142</v>
      </c>
      <c r="B13" t="s">
        <v>143</v>
      </c>
      <c r="C13" t="s">
        <v>144</v>
      </c>
      <c r="D13" s="59">
        <v>46010</v>
      </c>
      <c r="F13" t="s">
        <v>120</v>
      </c>
      <c r="G13" s="59">
        <v>45980</v>
      </c>
      <c r="H13" s="59" t="s">
        <v>145</v>
      </c>
      <c r="I13" s="59"/>
    </row>
    <row r="14" spans="1:11">
      <c r="A14" t="s">
        <v>146</v>
      </c>
      <c r="C14" t="s">
        <v>135</v>
      </c>
      <c r="E14" s="59">
        <v>46025</v>
      </c>
      <c r="F14" t="s">
        <v>120</v>
      </c>
      <c r="G14" s="59">
        <v>45980</v>
      </c>
      <c r="H14" s="59"/>
      <c r="I14" s="59"/>
    </row>
    <row r="15" spans="1:11">
      <c r="A15" t="s">
        <v>141</v>
      </c>
      <c r="B15" t="s">
        <v>139</v>
      </c>
      <c r="C15" t="s">
        <v>128</v>
      </c>
      <c r="D15" s="59">
        <v>46010</v>
      </c>
      <c r="E15" s="59">
        <v>46025</v>
      </c>
      <c r="F15" t="s">
        <v>120</v>
      </c>
      <c r="G15" s="59">
        <v>45980</v>
      </c>
      <c r="H15" s="59"/>
      <c r="J15" s="59">
        <v>46024</v>
      </c>
    </row>
    <row r="16" spans="1:11" ht="29.25">
      <c r="A16" t="s">
        <v>147</v>
      </c>
      <c r="B16" t="s">
        <v>148</v>
      </c>
      <c r="C16" t="s">
        <v>87</v>
      </c>
      <c r="D16" s="59">
        <v>46024</v>
      </c>
      <c r="E16" s="69" t="s">
        <v>149</v>
      </c>
      <c r="G16" s="59"/>
      <c r="H16" s="59"/>
      <c r="J16" s="59"/>
    </row>
    <row r="17" spans="1:9">
      <c r="A17" t="s">
        <v>150</v>
      </c>
      <c r="G17" s="59">
        <v>46002</v>
      </c>
      <c r="H17" s="59"/>
    </row>
    <row r="18" spans="1:9" s="59" customFormat="1">
      <c r="A18" s="59" t="s">
        <v>151</v>
      </c>
      <c r="C18" s="59" t="s">
        <v>152</v>
      </c>
      <c r="E18" s="59" t="s">
        <v>153</v>
      </c>
      <c r="H18" s="59" t="s">
        <v>154</v>
      </c>
    </row>
    <row r="19" spans="1:9" s="59" customFormat="1">
      <c r="A19" s="59" t="s">
        <v>155</v>
      </c>
      <c r="C19" s="59" t="s">
        <v>156</v>
      </c>
      <c r="E19" s="59" t="s">
        <v>157</v>
      </c>
    </row>
    <row r="20" spans="1:9" ht="29.25">
      <c r="A20" t="s">
        <v>158</v>
      </c>
      <c r="B20" s="66" t="s">
        <v>159</v>
      </c>
      <c r="C20" t="s">
        <v>58</v>
      </c>
      <c r="D20" s="59">
        <v>46010</v>
      </c>
      <c r="E20" t="s">
        <v>160</v>
      </c>
      <c r="F20" s="59">
        <v>45981</v>
      </c>
      <c r="H20" t="s">
        <v>161</v>
      </c>
      <c r="I20" s="59"/>
    </row>
    <row r="21" spans="1:9" ht="29.25">
      <c r="A21" t="s">
        <v>162</v>
      </c>
      <c r="B21" s="66" t="s">
        <v>163</v>
      </c>
      <c r="D21" s="59">
        <v>46028</v>
      </c>
      <c r="F21" s="59"/>
      <c r="I21" s="59"/>
    </row>
    <row r="22" spans="1:9" ht="15" customHeight="1">
      <c r="A22" t="s">
        <v>164</v>
      </c>
      <c r="C22" t="s">
        <v>144</v>
      </c>
      <c r="F22" s="59">
        <v>45981</v>
      </c>
      <c r="H22" t="s">
        <v>161</v>
      </c>
      <c r="I22" s="59"/>
    </row>
    <row r="23" spans="1:9" ht="78" customHeight="1">
      <c r="A23" t="s">
        <v>165</v>
      </c>
      <c r="B23" s="66" t="s">
        <v>166</v>
      </c>
      <c r="C23" t="s">
        <v>167</v>
      </c>
      <c r="D23" s="59">
        <v>46010</v>
      </c>
      <c r="E23" t="s">
        <v>160</v>
      </c>
      <c r="F23" s="59" t="s">
        <v>120</v>
      </c>
      <c r="I23" s="59"/>
    </row>
    <row r="24" spans="1:9" ht="78" customHeight="1">
      <c r="A24" t="s">
        <v>168</v>
      </c>
      <c r="B24" s="66" t="s">
        <v>169</v>
      </c>
      <c r="C24" t="s">
        <v>45</v>
      </c>
      <c r="D24" s="59"/>
      <c r="F24" s="59"/>
      <c r="H24" t="s">
        <v>170</v>
      </c>
      <c r="I24" s="59"/>
    </row>
    <row r="25" spans="1:9" ht="15" customHeight="1">
      <c r="A25" t="s">
        <v>171</v>
      </c>
      <c r="C25" t="s">
        <v>172</v>
      </c>
      <c r="E25" s="59">
        <v>46034</v>
      </c>
      <c r="F25" s="59">
        <v>45981</v>
      </c>
      <c r="H25" t="s">
        <v>161</v>
      </c>
      <c r="I25" s="59"/>
    </row>
    <row r="26" spans="1:9" ht="15" customHeight="1">
      <c r="A26" t="s">
        <v>173</v>
      </c>
      <c r="C26" t="s">
        <v>135</v>
      </c>
      <c r="F26" s="59">
        <v>45981</v>
      </c>
      <c r="H26" t="s">
        <v>161</v>
      </c>
    </row>
    <row r="27" spans="1:9" ht="30.75" customHeight="1">
      <c r="A27" s="65" t="s">
        <v>174</v>
      </c>
      <c r="B27" t="s">
        <v>175</v>
      </c>
      <c r="D27" s="59">
        <v>46024</v>
      </c>
      <c r="E27" s="68" t="s">
        <v>176</v>
      </c>
    </row>
    <row r="28" spans="1:9" ht="48" customHeight="1">
      <c r="A28" t="s">
        <v>177</v>
      </c>
      <c r="D28" s="59">
        <v>46024</v>
      </c>
      <c r="E28" s="68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CD69-F4BE-4EAE-85B8-30649A55EAD1}">
  <dimension ref="A1"/>
  <sheetViews>
    <sheetView workbookViewId="0">
      <selection activeCell="E22" sqref="D22:E23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ECF6-1914-437A-9476-1A97518E3C74}">
  <dimension ref="A1:I125"/>
  <sheetViews>
    <sheetView workbookViewId="0">
      <selection activeCell="B4" sqref="B4"/>
    </sheetView>
  </sheetViews>
  <sheetFormatPr defaultColWidth="109" defaultRowHeight="14.45"/>
  <cols>
    <col min="1" max="1" width="37.85546875" customWidth="1"/>
    <col min="2" max="2" width="57" customWidth="1"/>
    <col min="3" max="3" width="43" customWidth="1"/>
    <col min="4" max="4" width="27.42578125" customWidth="1"/>
    <col min="5" max="5" width="17.42578125" bestFit="1" customWidth="1"/>
    <col min="6" max="6" width="23.42578125" bestFit="1" customWidth="1"/>
    <col min="7" max="7" width="30.5703125" bestFit="1" customWidth="1"/>
    <col min="8" max="8" width="19.5703125" bestFit="1" customWidth="1"/>
    <col min="9" max="9" width="28.5703125" bestFit="1" customWidth="1"/>
  </cols>
  <sheetData>
    <row r="1" spans="1:4">
      <c r="B1" t="s">
        <v>178</v>
      </c>
      <c r="D1" t="s">
        <v>179</v>
      </c>
    </row>
    <row r="2" spans="1:4" ht="75" customHeight="1">
      <c r="A2" t="s">
        <v>180</v>
      </c>
      <c r="B2" s="1" t="s">
        <v>181</v>
      </c>
      <c r="D2" s="1" t="s">
        <v>182</v>
      </c>
    </row>
    <row r="3" spans="1:4">
      <c r="A3" t="s">
        <v>183</v>
      </c>
      <c r="B3" s="1"/>
    </row>
    <row r="4" spans="1:4" ht="164.25" customHeight="1">
      <c r="A4" t="s">
        <v>184</v>
      </c>
      <c r="B4" s="1" t="s">
        <v>185</v>
      </c>
    </row>
    <row r="5" spans="1:4">
      <c r="A5" t="s">
        <v>186</v>
      </c>
      <c r="B5" s="7" t="s">
        <v>187</v>
      </c>
    </row>
    <row r="6" spans="1:4">
      <c r="A6" t="s">
        <v>188</v>
      </c>
      <c r="B6" t="s">
        <v>189</v>
      </c>
      <c r="C6" s="2" t="s">
        <v>190</v>
      </c>
    </row>
    <row r="7" spans="1:4">
      <c r="A7" t="s">
        <v>191</v>
      </c>
      <c r="B7" t="s">
        <v>192</v>
      </c>
      <c r="C7" t="s">
        <v>193</v>
      </c>
    </row>
    <row r="9" spans="1:4" ht="90" customHeight="1">
      <c r="A9" t="s">
        <v>194</v>
      </c>
      <c r="B9" s="1" t="s">
        <v>195</v>
      </c>
    </row>
    <row r="10" spans="1:4" ht="28.9">
      <c r="A10" t="s">
        <v>196</v>
      </c>
      <c r="B10" s="52" t="s">
        <v>197</v>
      </c>
    </row>
    <row r="77" spans="1:2">
      <c r="A77" s="8" t="s">
        <v>198</v>
      </c>
      <c r="B77" s="4"/>
    </row>
    <row r="78" spans="1:2">
      <c r="A78" s="4"/>
      <c r="B78" s="4"/>
    </row>
    <row r="79" spans="1:2">
      <c r="A79" s="4" t="s">
        <v>199</v>
      </c>
      <c r="B79" s="4"/>
    </row>
    <row r="80" spans="1:2">
      <c r="A80" s="4" t="s">
        <v>200</v>
      </c>
      <c r="B80" s="4" t="s">
        <v>201</v>
      </c>
    </row>
    <row r="81" spans="1:9" ht="96" customHeight="1">
      <c r="A81" s="4" t="s">
        <v>202</v>
      </c>
      <c r="B81" s="53" t="s">
        <v>203</v>
      </c>
    </row>
    <row r="82" spans="1:9">
      <c r="A82" s="4" t="s">
        <v>204</v>
      </c>
      <c r="B82" s="4"/>
    </row>
    <row r="83" spans="1:9">
      <c r="A83" s="4"/>
      <c r="B83" s="4"/>
    </row>
    <row r="84" spans="1:9" ht="43.15">
      <c r="A84" s="53" t="s">
        <v>205</v>
      </c>
      <c r="B84" s="4"/>
    </row>
    <row r="85" spans="1:9">
      <c r="A85" s="4"/>
      <c r="B85" s="4"/>
    </row>
    <row r="86" spans="1:9">
      <c r="A86" s="4" t="s">
        <v>206</v>
      </c>
      <c r="B86" s="4"/>
    </row>
    <row r="87" spans="1:9">
      <c r="A87" s="4" t="s">
        <v>207</v>
      </c>
      <c r="B87" s="4"/>
    </row>
    <row r="88" spans="1:9">
      <c r="A88" t="s">
        <v>208</v>
      </c>
    </row>
    <row r="90" spans="1:9">
      <c r="A90" t="s">
        <v>209</v>
      </c>
    </row>
    <row r="94" spans="1:9">
      <c r="A94" s="9" t="s">
        <v>210</v>
      </c>
    </row>
    <row r="95" spans="1:9">
      <c r="A95" s="9"/>
      <c r="D95" s="70" t="s">
        <v>211</v>
      </c>
      <c r="E95" s="70"/>
      <c r="F95" s="70"/>
      <c r="G95" s="70"/>
      <c r="H95" s="70"/>
      <c r="I95" s="70"/>
    </row>
    <row r="96" spans="1:9">
      <c r="A96" s="10" t="s">
        <v>212</v>
      </c>
      <c r="B96" s="11" t="s">
        <v>213</v>
      </c>
      <c r="C96" s="12" t="s">
        <v>214</v>
      </c>
      <c r="D96" s="13" t="s">
        <v>215</v>
      </c>
      <c r="E96" s="13" t="s">
        <v>216</v>
      </c>
      <c r="F96" s="13" t="s">
        <v>217</v>
      </c>
      <c r="G96" s="13" t="s">
        <v>218</v>
      </c>
      <c r="H96" s="14" t="s">
        <v>219</v>
      </c>
      <c r="I96" s="13" t="s">
        <v>220</v>
      </c>
    </row>
    <row r="97" spans="1:9">
      <c r="A97" s="15" t="s">
        <v>221</v>
      </c>
      <c r="B97" s="16" t="s">
        <v>222</v>
      </c>
      <c r="C97" s="17">
        <v>10000</v>
      </c>
      <c r="D97" s="18">
        <f>C97*10%</f>
        <v>1000</v>
      </c>
      <c r="E97" s="18">
        <v>0</v>
      </c>
      <c r="F97" s="19">
        <v>10</v>
      </c>
      <c r="G97" s="20">
        <v>0</v>
      </c>
      <c r="H97" s="21">
        <v>10</v>
      </c>
      <c r="I97" s="20">
        <v>1000</v>
      </c>
    </row>
    <row r="98" spans="1:9">
      <c r="A98" s="22" t="s">
        <v>223</v>
      </c>
      <c r="B98" s="23" t="s">
        <v>222</v>
      </c>
      <c r="C98" s="24">
        <v>20000</v>
      </c>
      <c r="D98" s="25">
        <v>2000</v>
      </c>
      <c r="E98" s="25">
        <v>0</v>
      </c>
      <c r="F98" s="26">
        <v>10</v>
      </c>
      <c r="G98" s="27">
        <v>2000</v>
      </c>
      <c r="H98" s="28">
        <v>0</v>
      </c>
      <c r="I98" s="25">
        <v>0</v>
      </c>
    </row>
    <row r="100" spans="1:9">
      <c r="F100" s="29"/>
      <c r="G100" s="29"/>
    </row>
    <row r="101" spans="1:9">
      <c r="F101" s="30"/>
      <c r="G101" s="31"/>
    </row>
    <row r="102" spans="1:9">
      <c r="A102" s="9" t="s">
        <v>224</v>
      </c>
    </row>
    <row r="103" spans="1:9">
      <c r="A103" s="10" t="s">
        <v>212</v>
      </c>
      <c r="B103" s="11" t="s">
        <v>213</v>
      </c>
      <c r="C103" s="12" t="s">
        <v>214</v>
      </c>
      <c r="D103" s="13" t="s">
        <v>215</v>
      </c>
      <c r="E103" s="13" t="s">
        <v>216</v>
      </c>
      <c r="F103" s="13" t="s">
        <v>217</v>
      </c>
      <c r="G103" s="13" t="s">
        <v>218</v>
      </c>
      <c r="H103" s="14" t="s">
        <v>219</v>
      </c>
      <c r="I103" s="13" t="s">
        <v>220</v>
      </c>
    </row>
    <row r="104" spans="1:9">
      <c r="A104" s="15" t="s">
        <v>221</v>
      </c>
      <c r="B104" s="16" t="s">
        <v>225</v>
      </c>
      <c r="C104" s="17">
        <v>10000</v>
      </c>
      <c r="D104" s="18">
        <v>500</v>
      </c>
      <c r="E104" s="18">
        <v>500</v>
      </c>
      <c r="F104" s="19">
        <v>5</v>
      </c>
      <c r="G104" s="20">
        <v>0</v>
      </c>
      <c r="H104" s="21">
        <v>10</v>
      </c>
      <c r="I104" s="20">
        <v>1000</v>
      </c>
    </row>
    <row r="105" spans="1:9">
      <c r="A105" s="22" t="s">
        <v>223</v>
      </c>
      <c r="B105" s="23" t="s">
        <v>225</v>
      </c>
      <c r="C105" s="24">
        <v>20000</v>
      </c>
      <c r="D105" s="25">
        <v>1000</v>
      </c>
      <c r="E105" s="25">
        <v>1000</v>
      </c>
      <c r="F105" s="26">
        <v>5</v>
      </c>
      <c r="G105" s="27">
        <v>500</v>
      </c>
      <c r="H105" s="28">
        <v>5</v>
      </c>
      <c r="I105" s="25">
        <v>500</v>
      </c>
    </row>
    <row r="109" spans="1:9">
      <c r="A109" s="9" t="s">
        <v>226</v>
      </c>
    </row>
    <row r="110" spans="1:9">
      <c r="A110" s="10" t="s">
        <v>212</v>
      </c>
      <c r="B110" s="11" t="s">
        <v>213</v>
      </c>
      <c r="C110" s="12" t="s">
        <v>214</v>
      </c>
      <c r="D110" s="13" t="s">
        <v>215</v>
      </c>
      <c r="E110" s="13" t="s">
        <v>216</v>
      </c>
      <c r="F110" s="13" t="s">
        <v>217</v>
      </c>
      <c r="G110" s="13" t="s">
        <v>218</v>
      </c>
      <c r="H110" s="14" t="s">
        <v>219</v>
      </c>
      <c r="I110" s="13" t="s">
        <v>220</v>
      </c>
    </row>
    <row r="111" spans="1:9">
      <c r="A111" s="15" t="s">
        <v>221</v>
      </c>
      <c r="B111" s="16" t="s">
        <v>227</v>
      </c>
      <c r="C111" s="17">
        <v>10000</v>
      </c>
      <c r="D111" s="18">
        <v>0</v>
      </c>
      <c r="E111" s="18">
        <v>1000</v>
      </c>
      <c r="F111" s="19">
        <v>0</v>
      </c>
      <c r="G111" s="32">
        <v>0</v>
      </c>
      <c r="H111" s="21">
        <v>10</v>
      </c>
      <c r="I111" s="20">
        <v>1000</v>
      </c>
    </row>
    <row r="112" spans="1:9">
      <c r="A112" s="22" t="s">
        <v>223</v>
      </c>
      <c r="B112" s="23" t="s">
        <v>227</v>
      </c>
      <c r="C112" s="24">
        <v>20000</v>
      </c>
      <c r="D112" s="25">
        <v>0</v>
      </c>
      <c r="E112" s="25">
        <v>2000</v>
      </c>
      <c r="F112" s="33">
        <v>0</v>
      </c>
      <c r="G112" s="34">
        <v>0</v>
      </c>
      <c r="H112" s="28">
        <v>10</v>
      </c>
      <c r="I112" s="25">
        <v>2000</v>
      </c>
    </row>
    <row r="115" spans="1:4">
      <c r="A115" s="35" t="s">
        <v>228</v>
      </c>
    </row>
    <row r="116" spans="1:4" ht="28.9">
      <c r="A116" s="1" t="s">
        <v>229</v>
      </c>
      <c r="B116" t="s">
        <v>230</v>
      </c>
    </row>
    <row r="117" spans="1:4" ht="28.9">
      <c r="A117" s="1" t="s">
        <v>229</v>
      </c>
      <c r="B117" t="s">
        <v>231</v>
      </c>
    </row>
    <row r="118" spans="1:4" ht="43.15">
      <c r="A118" s="1" t="s">
        <v>232</v>
      </c>
      <c r="B118" t="s">
        <v>233</v>
      </c>
    </row>
    <row r="123" spans="1:4">
      <c r="A123" s="4"/>
      <c r="B123" s="4" t="s">
        <v>234</v>
      </c>
      <c r="C123" s="4" t="s">
        <v>235</v>
      </c>
      <c r="D123" s="4" t="s">
        <v>236</v>
      </c>
    </row>
    <row r="124" spans="1:4">
      <c r="A124" s="4" t="s">
        <v>237</v>
      </c>
      <c r="B124" s="8">
        <v>10</v>
      </c>
      <c r="C124" s="51" t="s">
        <v>238</v>
      </c>
      <c r="D124" s="4">
        <v>0</v>
      </c>
    </row>
    <row r="125" spans="1:4">
      <c r="A125" s="10" t="s">
        <v>239</v>
      </c>
      <c r="B125" s="10">
        <v>5</v>
      </c>
      <c r="C125" s="3">
        <f>B124</f>
        <v>10</v>
      </c>
      <c r="D125" s="10">
        <f>B125+C125</f>
        <v>15</v>
      </c>
    </row>
  </sheetData>
  <mergeCells count="1">
    <mergeCell ref="D95:I95"/>
  </mergeCells>
  <hyperlinks>
    <hyperlink ref="C6" r:id="rId1" location="Opt-out-individual-employees" xr:uid="{6E8B7D63-5140-4B73-8C1F-08AF369994DE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F3BB-B5F1-45D3-860B-7491F9B6A39F}">
  <dimension ref="A1:W15"/>
  <sheetViews>
    <sheetView topLeftCell="A12" workbookViewId="0">
      <selection activeCell="A12" sqref="A12"/>
    </sheetView>
  </sheetViews>
  <sheetFormatPr defaultRowHeight="14.45"/>
  <cols>
    <col min="1" max="1" width="14.5703125" bestFit="1" customWidth="1"/>
    <col min="2" max="2" width="25.42578125" bestFit="1" customWidth="1"/>
    <col min="3" max="3" width="32.5703125" bestFit="1" customWidth="1"/>
    <col min="4" max="4" width="18" customWidth="1"/>
    <col min="5" max="5" width="43.85546875" bestFit="1" customWidth="1"/>
    <col min="6" max="6" width="40.140625" bestFit="1" customWidth="1"/>
    <col min="7" max="7" width="21.5703125" customWidth="1"/>
    <col min="8" max="8" width="15.140625" customWidth="1"/>
    <col min="9" max="9" width="29.42578125" customWidth="1"/>
    <col min="10" max="10" width="60.5703125" bestFit="1" customWidth="1"/>
    <col min="12" max="12" width="12.85546875" customWidth="1"/>
    <col min="13" max="13" width="13.42578125" customWidth="1"/>
    <col min="14" max="14" width="10.42578125" customWidth="1"/>
    <col min="15" max="15" width="18.42578125" customWidth="1"/>
    <col min="16" max="16" width="20.42578125" bestFit="1" customWidth="1"/>
    <col min="17" max="17" width="22.85546875" bestFit="1" customWidth="1"/>
    <col min="18" max="18" width="13.5703125" bestFit="1" customWidth="1"/>
  </cols>
  <sheetData>
    <row r="1" spans="1:23">
      <c r="L1" s="40" t="s">
        <v>240</v>
      </c>
      <c r="M1" s="40"/>
      <c r="N1" s="40"/>
      <c r="O1" s="40"/>
      <c r="P1" t="s">
        <v>241</v>
      </c>
      <c r="T1" s="55" t="s">
        <v>242</v>
      </c>
      <c r="U1" s="55"/>
      <c r="V1" s="55"/>
      <c r="W1" s="55"/>
    </row>
    <row r="2" spans="1:23" s="9" customFormat="1" ht="28.15">
      <c r="A2" s="9" t="s">
        <v>243</v>
      </c>
      <c r="B2" s="9" t="s">
        <v>244</v>
      </c>
      <c r="C2" s="9" t="s">
        <v>245</v>
      </c>
      <c r="D2" s="9" t="s">
        <v>246</v>
      </c>
      <c r="E2" s="9" t="s">
        <v>247</v>
      </c>
      <c r="F2" s="9" t="s">
        <v>248</v>
      </c>
      <c r="G2" s="9" t="s">
        <v>249</v>
      </c>
      <c r="H2" s="9" t="s">
        <v>250</v>
      </c>
      <c r="I2" s="9" t="s">
        <v>251</v>
      </c>
      <c r="J2" s="9" t="s">
        <v>252</v>
      </c>
      <c r="K2" s="9" t="s">
        <v>253</v>
      </c>
      <c r="L2" s="9" t="s">
        <v>254</v>
      </c>
      <c r="M2" s="9" t="s">
        <v>255</v>
      </c>
      <c r="N2" s="9" t="s">
        <v>256</v>
      </c>
      <c r="O2" s="9" t="s">
        <v>257</v>
      </c>
      <c r="P2" s="56" t="s">
        <v>258</v>
      </c>
      <c r="Q2" s="57"/>
      <c r="T2" s="9" t="s">
        <v>259</v>
      </c>
    </row>
    <row r="3" spans="1:23">
      <c r="A3" s="38">
        <v>20557254</v>
      </c>
      <c r="B3" s="38">
        <v>20557254</v>
      </c>
      <c r="C3" t="s">
        <v>260</v>
      </c>
      <c r="D3" s="36" t="s">
        <v>261</v>
      </c>
      <c r="E3" t="s">
        <v>262</v>
      </c>
      <c r="F3" t="s">
        <v>263</v>
      </c>
      <c r="G3" s="37">
        <v>53</v>
      </c>
      <c r="H3" t="s">
        <v>264</v>
      </c>
      <c r="I3" t="s">
        <v>264</v>
      </c>
      <c r="J3" s="39">
        <v>539393.4</v>
      </c>
      <c r="K3">
        <v>2024</v>
      </c>
      <c r="L3">
        <v>10</v>
      </c>
      <c r="O3">
        <v>10</v>
      </c>
      <c r="P3">
        <f>M3</f>
        <v>0</v>
      </c>
      <c r="T3" t="s">
        <v>265</v>
      </c>
    </row>
    <row r="4" spans="1:23">
      <c r="A4">
        <v>20219274</v>
      </c>
      <c r="B4">
        <v>20219274</v>
      </c>
      <c r="C4" t="s">
        <v>266</v>
      </c>
      <c r="D4" t="s">
        <v>264</v>
      </c>
      <c r="E4" t="s">
        <v>267</v>
      </c>
      <c r="F4" t="s">
        <v>268</v>
      </c>
      <c r="G4">
        <v>50</v>
      </c>
      <c r="H4" t="s">
        <v>264</v>
      </c>
      <c r="I4" t="s">
        <v>264</v>
      </c>
      <c r="J4" s="39">
        <v>374657.43</v>
      </c>
      <c r="K4">
        <v>2024</v>
      </c>
      <c r="P4">
        <f t="shared" ref="P4:P15" si="0">M4</f>
        <v>0</v>
      </c>
      <c r="T4" t="s">
        <v>269</v>
      </c>
    </row>
    <row r="5" spans="1:23">
      <c r="A5">
        <v>7018</v>
      </c>
      <c r="B5">
        <v>7018</v>
      </c>
      <c r="C5" t="s">
        <v>270</v>
      </c>
      <c r="D5" t="s">
        <v>261</v>
      </c>
      <c r="E5" s="36" t="s">
        <v>270</v>
      </c>
      <c r="F5" t="s">
        <v>263</v>
      </c>
      <c r="G5">
        <v>65</v>
      </c>
      <c r="H5" t="s">
        <v>264</v>
      </c>
      <c r="I5" t="s">
        <v>264</v>
      </c>
      <c r="J5" s="39">
        <v>270434.52</v>
      </c>
      <c r="K5">
        <v>2024</v>
      </c>
      <c r="P5">
        <f t="shared" si="0"/>
        <v>0</v>
      </c>
    </row>
    <row r="6" spans="1:23">
      <c r="P6">
        <f t="shared" si="0"/>
        <v>0</v>
      </c>
    </row>
    <row r="7" spans="1:23">
      <c r="A7" t="s">
        <v>271</v>
      </c>
      <c r="P7">
        <f t="shared" si="0"/>
        <v>0</v>
      </c>
    </row>
    <row r="8" spans="1:23">
      <c r="A8">
        <v>10548</v>
      </c>
      <c r="B8" s="41">
        <v>10548</v>
      </c>
      <c r="C8" s="44" t="s">
        <v>272</v>
      </c>
      <c r="D8" t="s">
        <v>261</v>
      </c>
      <c r="E8" s="43" t="s">
        <v>273</v>
      </c>
      <c r="F8" s="43" t="s">
        <v>274</v>
      </c>
      <c r="G8">
        <v>67</v>
      </c>
      <c r="H8" t="s">
        <v>264</v>
      </c>
      <c r="I8" t="s">
        <v>264</v>
      </c>
      <c r="J8" s="45">
        <v>215510.2</v>
      </c>
      <c r="K8">
        <v>2024</v>
      </c>
      <c r="P8">
        <f t="shared" si="0"/>
        <v>0</v>
      </c>
    </row>
    <row r="9" spans="1:23">
      <c r="A9">
        <v>10548</v>
      </c>
      <c r="B9" s="42" t="s">
        <v>275</v>
      </c>
      <c r="C9" s="46" t="s">
        <v>276</v>
      </c>
      <c r="D9" t="s">
        <v>264</v>
      </c>
      <c r="E9" s="43" t="s">
        <v>277</v>
      </c>
      <c r="F9" s="43" t="s">
        <v>278</v>
      </c>
      <c r="G9">
        <v>67</v>
      </c>
      <c r="H9" t="s">
        <v>264</v>
      </c>
      <c r="I9" t="s">
        <v>264</v>
      </c>
      <c r="J9" s="47">
        <v>222556.87</v>
      </c>
      <c r="K9">
        <v>2024</v>
      </c>
      <c r="P9">
        <f t="shared" si="0"/>
        <v>0</v>
      </c>
    </row>
    <row r="10" spans="1:23">
      <c r="B10" s="48"/>
      <c r="E10" s="43"/>
      <c r="F10" s="43"/>
      <c r="J10" s="49"/>
      <c r="P10">
        <f t="shared" si="0"/>
        <v>0</v>
      </c>
    </row>
    <row r="11" spans="1:23">
      <c r="A11" s="50">
        <v>227380</v>
      </c>
      <c r="B11" s="41" t="s">
        <v>279</v>
      </c>
      <c r="C11" s="44" t="s">
        <v>280</v>
      </c>
      <c r="D11" t="s">
        <v>281</v>
      </c>
      <c r="E11" s="44" t="s">
        <v>280</v>
      </c>
      <c r="F11" s="43" t="s">
        <v>263</v>
      </c>
      <c r="G11">
        <v>57</v>
      </c>
      <c r="H11" t="s">
        <v>264</v>
      </c>
      <c r="I11" t="s">
        <v>264</v>
      </c>
      <c r="J11" s="45">
        <v>219409.61</v>
      </c>
      <c r="K11">
        <v>2024</v>
      </c>
      <c r="P11">
        <f t="shared" si="0"/>
        <v>0</v>
      </c>
    </row>
    <row r="12" spans="1:23">
      <c r="A12" s="50">
        <v>227380</v>
      </c>
      <c r="B12" s="42">
        <v>227380</v>
      </c>
      <c r="D12" t="s">
        <v>264</v>
      </c>
      <c r="E12" s="46" t="s">
        <v>282</v>
      </c>
      <c r="F12" s="43" t="s">
        <v>283</v>
      </c>
      <c r="G12">
        <v>57</v>
      </c>
      <c r="H12" t="s">
        <v>264</v>
      </c>
      <c r="I12" t="s">
        <v>264</v>
      </c>
      <c r="J12" s="47">
        <v>149974.98000000001</v>
      </c>
      <c r="K12">
        <v>2024</v>
      </c>
      <c r="P12">
        <f t="shared" si="0"/>
        <v>0</v>
      </c>
    </row>
    <row r="13" spans="1:23">
      <c r="B13" s="48"/>
      <c r="C13" s="46" t="s">
        <v>282</v>
      </c>
      <c r="E13" s="43"/>
      <c r="F13" s="43"/>
      <c r="J13" s="49"/>
      <c r="P13">
        <f t="shared" si="0"/>
        <v>0</v>
      </c>
    </row>
    <row r="14" spans="1:23">
      <c r="A14" s="35" t="s">
        <v>284</v>
      </c>
      <c r="P14">
        <f t="shared" si="0"/>
        <v>0</v>
      </c>
    </row>
    <row r="15" spans="1:23">
      <c r="A15">
        <v>20129196</v>
      </c>
      <c r="C15" t="s">
        <v>285</v>
      </c>
      <c r="D15" t="s">
        <v>264</v>
      </c>
      <c r="E15" t="s">
        <v>285</v>
      </c>
      <c r="F15" t="s">
        <v>286</v>
      </c>
      <c r="G15">
        <v>51</v>
      </c>
      <c r="H15" t="s">
        <v>261</v>
      </c>
      <c r="I15" t="s">
        <v>261</v>
      </c>
      <c r="J15" s="39">
        <v>142604.99</v>
      </c>
      <c r="K15">
        <v>2024</v>
      </c>
      <c r="P15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6B87-AB66-43E4-9BEF-93250C5EFD37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AC148A0023454B8D9F0316AC245BF0" ma:contentTypeVersion="25" ma:contentTypeDescription="Create a new document." ma:contentTypeScope="" ma:versionID="b8f78e511e60beb7bd50ab2cbdc30ffc">
  <xsd:schema xmlns:xsd="http://www.w3.org/2001/XMLSchema" xmlns:xs="http://www.w3.org/2001/XMLSchema" xmlns:p="http://schemas.microsoft.com/office/2006/metadata/properties" xmlns:ns1="http://schemas.microsoft.com/sharepoint/v3" xmlns:ns2="b3c200ba-3ea9-4d37-93da-8e99c3bd4a1a" xmlns:ns3="16761d30-c951-4e0c-a82e-6a5ee9ee6114" targetNamespace="http://schemas.microsoft.com/office/2006/metadata/properties" ma:root="true" ma:fieldsID="6d8b79cb664f26e0bffe5c20533e0323" ns1:_="" ns2:_="" ns3:_="">
    <xsd:import namespace="http://schemas.microsoft.com/sharepoint/v3"/>
    <xsd:import namespace="b3c200ba-3ea9-4d37-93da-8e99c3bd4a1a"/>
    <xsd:import namespace="16761d30-c951-4e0c-a82e-6a5ee9ee611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200ba-3ea9-4d37-93da-8e99c3bd4a1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d129173-889b-4174-a355-38179e3f1382}" ma:internalName="TaxCatchAll" ma:showField="CatchAllData" ma:web="b3c200ba-3ea9-4d37-93da-8e99c3bd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61d30-c951-4e0c-a82e-6a5ee9ee611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25148-a3cf-4910-bd6c-3fcae0aed3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c200ba-3ea9-4d37-93da-8e99c3bd4a1a" xsi:nil="true"/>
    <PublishingExpirationDate xmlns="http://schemas.microsoft.com/sharepoint/v3" xsi:nil="true"/>
    <PublishingStartDate xmlns="http://schemas.microsoft.com/sharepoint/v3" xsi:nil="true"/>
    <lcf76f155ced4ddcb4097134ff3c332f xmlns="16761d30-c951-4e0c-a82e-6a5ee9ee611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B58DF6-746D-4B5E-903D-21A77AE1188A}"/>
</file>

<file path=customXml/itemProps2.xml><?xml version="1.0" encoding="utf-8"?>
<ds:datastoreItem xmlns:ds="http://schemas.openxmlformats.org/officeDocument/2006/customXml" ds:itemID="{8B286259-D7A2-404B-8F8F-77A05F6054C3}"/>
</file>

<file path=customXml/itemProps3.xml><?xml version="1.0" encoding="utf-8"?>
<ds:datastoreItem xmlns:ds="http://schemas.openxmlformats.org/officeDocument/2006/customXml" ds:itemID="{1B1611E1-4658-4D17-855C-A33EC51BB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Ramya Nelanuthula</cp:lastModifiedBy>
  <cp:revision/>
  <dcterms:created xsi:type="dcterms:W3CDTF">2025-06-04T19:34:07Z</dcterms:created>
  <dcterms:modified xsi:type="dcterms:W3CDTF">2026-01-08T18:52:20Z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0x010100ADAC148A0023454B8D9F0316AC245BF0</vt:lpwstr>
  </property>
  <property fmtid="{D5CDD505-2E9C-101B-9397-08002B2CF9AE}" pid="3" name="MediaServiceImageTags">
    <vt:lpwstr/>
  </property>
  <property fmtid="{D5CDD505-2E9C-101B-9397-08002B2CF9AE}" pid="4" name="MSIP_Label_05666707-0715-4041-9638-aabeabe69b0d_Enabled">
    <vt:lpwstr>true</vt:lpwstr>
  </property>
  <property fmtid="{D5CDD505-2E9C-101B-9397-08002B2CF9AE}" pid="5" name="MSIP_Label_05666707-0715-4041-9638-aabeabe69b0d_SetDate">
    <vt:lpwstr>2025-07-03T17:56:04Z</vt:lpwstr>
  </property>
  <property fmtid="{D5CDD505-2E9C-101B-9397-08002B2CF9AE}" pid="6" name="MSIP_Label_05666707-0715-4041-9638-aabeabe69b0d_Method">
    <vt:lpwstr>Standard</vt:lpwstr>
  </property>
  <property fmtid="{D5CDD505-2E9C-101B-9397-08002B2CF9AE}" pid="7" name="MSIP_Label_05666707-0715-4041-9638-aabeabe69b0d_Name">
    <vt:lpwstr>Internal Use Only</vt:lpwstr>
  </property>
  <property fmtid="{D5CDD505-2E9C-101B-9397-08002B2CF9AE}" pid="8" name="MSIP_Label_05666707-0715-4041-9638-aabeabe69b0d_SiteId">
    <vt:lpwstr>01539004-1e29-4991-ac20-0132e3bf8734</vt:lpwstr>
  </property>
  <property fmtid="{D5CDD505-2E9C-101B-9397-08002B2CF9AE}" pid="9" name="MSIP_Label_05666707-0715-4041-9638-aabeabe69b0d_ActionId">
    <vt:lpwstr>b2fa4eda-9fa7-468f-871d-d1e611351d71</vt:lpwstr>
  </property>
  <property fmtid="{D5CDD505-2E9C-101B-9397-08002B2CF9AE}" pid="10" name="MSIP_Label_05666707-0715-4041-9638-aabeabe69b0d_ContentBits">
    <vt:lpwstr>0</vt:lpwstr>
  </property>
  <property fmtid="{D5CDD505-2E9C-101B-9397-08002B2CF9AE}" pid="11" name="MSIP_Label_05666707-0715-4041-9638-aabeabe69b0d_Tag">
    <vt:lpwstr>10, 3, 0, 1</vt:lpwstr>
  </property>
</Properties>
</file>